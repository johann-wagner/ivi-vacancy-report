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O:\NSC - OIAS\OSAS\14 Vacancy Report\24 Report automation\Vacancy Report Automation\"/>
    </mc:Choice>
  </mc:AlternateContent>
  <xr:revisionPtr revIDLastSave="0" documentId="13_ncr:1_{91DA89EC-4349-4226-8ED7-B3B66EDF66D0}" xr6:coauthVersionLast="47" xr6:coauthVersionMax="47" xr10:uidLastSave="{00000000-0000-0000-0000-000000000000}"/>
  <bookViews>
    <workbookView xWindow="19020" yWindow="1700" windowWidth="19380" windowHeight="11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32" i="1"/>
  <c r="B32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24" i="1"/>
  <c r="B24" i="1"/>
  <c r="B23" i="1"/>
  <c r="A23" i="1"/>
  <c r="A22" i="1"/>
  <c r="B22" i="1"/>
  <c r="A2" i="1"/>
  <c r="B2" i="1"/>
  <c r="A3" i="1"/>
  <c r="B3" i="1"/>
  <c r="A4" i="1"/>
  <c r="B4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5" i="1"/>
</calcChain>
</file>

<file path=xl/sharedStrings.xml><?xml version="1.0" encoding="utf-8"?>
<sst xmlns="http://schemas.openxmlformats.org/spreadsheetml/2006/main" count="34" uniqueCount="33">
  <si>
    <t>ivi_release_date</t>
  </si>
  <si>
    <t>measurement_year</t>
  </si>
  <si>
    <t>measurement_month</t>
  </si>
  <si>
    <t>spotlight_occupation</t>
  </si>
  <si>
    <t>Retail Managers</t>
  </si>
  <si>
    <t>entry-level occupations</t>
  </si>
  <si>
    <t>Hairdressers</t>
  </si>
  <si>
    <t>Sports Coaches, Instructors and Officials</t>
  </si>
  <si>
    <t>Health Professionals and Education Professionals</t>
  </si>
  <si>
    <t>recruitment activity trends for capital cities and regional areas</t>
  </si>
  <si>
    <t>Bricklayers and Stonemasons</t>
  </si>
  <si>
    <t>Jobs and Skills Australia is reviewing some of the most popular topics covered in the Vacancy Report over 2023 to provide updated and revised analysis.</t>
  </si>
  <si>
    <t>Motor Vehicle and Vehicle Parts Salespersons</t>
  </si>
  <si>
    <t>Journalists and Other Writers</t>
  </si>
  <si>
    <t>Domestic Cleaners</t>
  </si>
  <si>
    <t>Environmental Scientists</t>
  </si>
  <si>
    <t>Air Transport Professionals</t>
  </si>
  <si>
    <t>Growing regional labour markets</t>
  </si>
  <si>
    <t>Delivery Drivers</t>
  </si>
  <si>
    <t>Chefs, Cooks and Kitchenhands</t>
  </si>
  <si>
    <t>Veterinarians</t>
  </si>
  <si>
    <t>Panelbeaters and Vehicle Painters</t>
  </si>
  <si>
    <t>Financial Investment Advisors and Managers</t>
  </si>
  <si>
    <t>Jobs and Skills Australia is reviewing some of the most popular topics covered in the Vacancy Report over 2024 to provide updated and revised analysis.</t>
  </si>
  <si>
    <t>textile-related occupations</t>
  </si>
  <si>
    <t>Psychiatrists</t>
  </si>
  <si>
    <t xml:space="preserve"> -</t>
  </si>
  <si>
    <t>Aged and Disabled Carers</t>
  </si>
  <si>
    <t>Vacancy rates and changing labour market conditions</t>
  </si>
  <si>
    <t>Regional vacancy rates</t>
  </si>
  <si>
    <t>Persistent hiring pressure</t>
  </si>
  <si>
    <t>Audiologist and Speech Pathologists/Therapists</t>
  </si>
  <si>
    <t>Aircraft Maintenance Engineers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</si>
</sst>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0" fillId="2" borderId="2" xfId="0" applyFill="1" applyBorder="1"/>
    <xf numFmtId="0" fontId="0" fillId="2" borderId="3" xfId="0" applyFill="1" applyBorder="1"/>
    <xf numFmtId="14" fontId="0" fillId="2" borderId="3" xfId="0" applyNumberFormat="1" applyFill="1" applyBorder="1"/>
    <xf numFmtId="0" fontId="0" fillId="2" borderId="4" xfId="0" applyFill="1" applyBorder="1"/>
    <xf numFmtId="0" fontId="0" fillId="4" borderId="5" xfId="0" applyFill="1" applyBorder="1"/>
    <xf numFmtId="14" fontId="0" fillId="4" borderId="6" xfId="0" applyNumberFormat="1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B18" workbookViewId="0">
      <selection activeCell="D32" sqref="D32"/>
    </sheetView>
  </sheetViews>
  <sheetFormatPr defaultRowHeight="15" x14ac:dyDescent="0.25"/>
  <cols>
    <col min="1" max="1" width="16.85546875" bestFit="1" customWidth="1"/>
    <col min="2" max="2" width="18.7109375" bestFit="1" customWidth="1"/>
    <col min="3" max="3" width="14.42578125" bestFit="1" customWidth="1"/>
    <col min="4" max="4" width="138.42578125" bestFit="1" customWidth="1"/>
  </cols>
  <sheetData>
    <row r="1" spans="1:4" ht="15.75" thickBot="1" x14ac:dyDescent="0.3">
      <c r="A1" s="11" t="s">
        <v>1</v>
      </c>
      <c r="B1" s="12" t="s">
        <v>2</v>
      </c>
      <c r="C1" s="12" t="s">
        <v>0</v>
      </c>
      <c r="D1" s="13" t="s">
        <v>3</v>
      </c>
    </row>
    <row r="2" spans="1:4" x14ac:dyDescent="0.25">
      <c r="A2" s="14" t="str">
        <f t="shared" ref="A2:A4" si="0">TEXT(EDATE($C2, -1), "yyyy")</f>
        <v>2023</v>
      </c>
      <c r="B2" s="15" t="str">
        <f t="shared" ref="B2:B4" si="1">TEXT(EDATE($C2, -1), "mmmm")</f>
        <v>May</v>
      </c>
      <c r="C2" s="16">
        <v>45091</v>
      </c>
      <c r="D2" s="17" t="s">
        <v>8</v>
      </c>
    </row>
    <row r="3" spans="1:4" x14ac:dyDescent="0.25">
      <c r="A3" s="5" t="str">
        <f t="shared" si="0"/>
        <v>2023</v>
      </c>
      <c r="B3" s="1" t="str">
        <f t="shared" si="1"/>
        <v>June</v>
      </c>
      <c r="C3" s="2">
        <v>45126</v>
      </c>
      <c r="D3" s="6" t="s">
        <v>9</v>
      </c>
    </row>
    <row r="4" spans="1:4" x14ac:dyDescent="0.25">
      <c r="A4" s="5" t="str">
        <f t="shared" si="0"/>
        <v>2023</v>
      </c>
      <c r="B4" s="1" t="str">
        <f t="shared" si="1"/>
        <v>July</v>
      </c>
      <c r="C4" s="2">
        <v>45154</v>
      </c>
      <c r="D4" s="6" t="s">
        <v>10</v>
      </c>
    </row>
    <row r="5" spans="1:4" x14ac:dyDescent="0.25">
      <c r="A5" s="5" t="str">
        <f>TEXT(EDATE($C5, -1), "yyyy")</f>
        <v>2023</v>
      </c>
      <c r="B5" s="1" t="str">
        <f>TEXT(EDATE($C5, -1), "mmmm")</f>
        <v>August</v>
      </c>
      <c r="C5" s="2">
        <v>45182</v>
      </c>
      <c r="D5" s="6" t="s">
        <v>4</v>
      </c>
    </row>
    <row r="6" spans="1:4" x14ac:dyDescent="0.25">
      <c r="A6" s="5" t="str">
        <f t="shared" ref="A6:A22" si="2">TEXT(EDATE($C6, -1), "yyyy")</f>
        <v>2023</v>
      </c>
      <c r="B6" s="1" t="str">
        <f t="shared" ref="B6:B32" si="3">TEXT(EDATE($C6, -1), "mmmm")</f>
        <v>September</v>
      </c>
      <c r="C6" s="2">
        <v>45217</v>
      </c>
      <c r="D6" s="6" t="s">
        <v>5</v>
      </c>
    </row>
    <row r="7" spans="1:4" x14ac:dyDescent="0.25">
      <c r="A7" s="5" t="str">
        <f t="shared" si="2"/>
        <v>2023</v>
      </c>
      <c r="B7" s="1" t="str">
        <f t="shared" si="3"/>
        <v>October</v>
      </c>
      <c r="C7" s="2">
        <v>45245</v>
      </c>
      <c r="D7" s="6" t="s">
        <v>6</v>
      </c>
    </row>
    <row r="8" spans="1:4" x14ac:dyDescent="0.25">
      <c r="A8" s="5" t="str">
        <f t="shared" si="2"/>
        <v>2023</v>
      </c>
      <c r="B8" s="1" t="str">
        <f t="shared" si="3"/>
        <v>November</v>
      </c>
      <c r="C8" s="2">
        <v>45273</v>
      </c>
      <c r="D8" s="6" t="s">
        <v>7</v>
      </c>
    </row>
    <row r="9" spans="1:4" x14ac:dyDescent="0.25">
      <c r="A9" s="7" t="str">
        <f t="shared" si="2"/>
        <v>2023</v>
      </c>
      <c r="B9" s="3" t="str">
        <f t="shared" si="3"/>
        <v>December</v>
      </c>
      <c r="C9" s="4">
        <v>45308</v>
      </c>
      <c r="D9" s="8" t="s">
        <v>11</v>
      </c>
    </row>
    <row r="10" spans="1:4" x14ac:dyDescent="0.25">
      <c r="A10" s="7" t="str">
        <f t="shared" si="2"/>
        <v>2024</v>
      </c>
      <c r="B10" s="3" t="str">
        <f t="shared" si="3"/>
        <v>January</v>
      </c>
      <c r="C10" s="4">
        <v>45336</v>
      </c>
      <c r="D10" s="8" t="s">
        <v>12</v>
      </c>
    </row>
    <row r="11" spans="1:4" x14ac:dyDescent="0.25">
      <c r="A11" s="7" t="str">
        <f t="shared" si="2"/>
        <v>2024</v>
      </c>
      <c r="B11" s="3" t="str">
        <f t="shared" si="3"/>
        <v>February</v>
      </c>
      <c r="C11" s="4">
        <v>45371</v>
      </c>
      <c r="D11" s="8" t="s">
        <v>13</v>
      </c>
    </row>
    <row r="12" spans="1:4" x14ac:dyDescent="0.25">
      <c r="A12" s="7" t="str">
        <f t="shared" si="2"/>
        <v>2024</v>
      </c>
      <c r="B12" s="3" t="str">
        <f t="shared" si="3"/>
        <v>March</v>
      </c>
      <c r="C12" s="4">
        <v>45399</v>
      </c>
      <c r="D12" s="8" t="s">
        <v>14</v>
      </c>
    </row>
    <row r="13" spans="1:4" x14ac:dyDescent="0.25">
      <c r="A13" s="7" t="str">
        <f t="shared" si="2"/>
        <v>2024</v>
      </c>
      <c r="B13" s="3" t="str">
        <f t="shared" si="3"/>
        <v>April</v>
      </c>
      <c r="C13" s="4">
        <v>45427</v>
      </c>
      <c r="D13" s="8" t="s">
        <v>15</v>
      </c>
    </row>
    <row r="14" spans="1:4" x14ac:dyDescent="0.25">
      <c r="A14" s="7" t="str">
        <f t="shared" si="2"/>
        <v>2024</v>
      </c>
      <c r="B14" s="3" t="str">
        <f t="shared" si="3"/>
        <v>May</v>
      </c>
      <c r="C14" s="4">
        <v>45455</v>
      </c>
      <c r="D14" s="8" t="s">
        <v>16</v>
      </c>
    </row>
    <row r="15" spans="1:4" x14ac:dyDescent="0.25">
      <c r="A15" s="7" t="str">
        <f t="shared" si="2"/>
        <v>2024</v>
      </c>
      <c r="B15" s="3" t="str">
        <f t="shared" si="3"/>
        <v>June</v>
      </c>
      <c r="C15" s="4">
        <v>45490</v>
      </c>
      <c r="D15" s="8" t="s">
        <v>17</v>
      </c>
    </row>
    <row r="16" spans="1:4" x14ac:dyDescent="0.25">
      <c r="A16" s="7" t="str">
        <f t="shared" si="2"/>
        <v>2024</v>
      </c>
      <c r="B16" s="3" t="str">
        <f t="shared" si="3"/>
        <v>July</v>
      </c>
      <c r="C16" s="4">
        <v>45518</v>
      </c>
      <c r="D16" s="8" t="s">
        <v>18</v>
      </c>
    </row>
    <row r="17" spans="1:4" x14ac:dyDescent="0.25">
      <c r="A17" s="7" t="str">
        <f t="shared" si="2"/>
        <v>2024</v>
      </c>
      <c r="B17" s="3" t="str">
        <f t="shared" si="3"/>
        <v>August</v>
      </c>
      <c r="C17" s="4">
        <v>45553</v>
      </c>
      <c r="D17" s="8" t="s">
        <v>19</v>
      </c>
    </row>
    <row r="18" spans="1:4" x14ac:dyDescent="0.25">
      <c r="A18" s="7" t="str">
        <f t="shared" si="2"/>
        <v>2024</v>
      </c>
      <c r="B18" s="3" t="str">
        <f t="shared" si="3"/>
        <v>September</v>
      </c>
      <c r="C18" s="4">
        <v>45581</v>
      </c>
      <c r="D18" s="8" t="s">
        <v>20</v>
      </c>
    </row>
    <row r="19" spans="1:4" x14ac:dyDescent="0.25">
      <c r="A19" s="7" t="str">
        <f t="shared" si="2"/>
        <v>2024</v>
      </c>
      <c r="B19" s="3" t="str">
        <f t="shared" si="3"/>
        <v>October</v>
      </c>
      <c r="C19" s="4">
        <v>45609</v>
      </c>
      <c r="D19" s="8" t="s">
        <v>21</v>
      </c>
    </row>
    <row r="20" spans="1:4" x14ac:dyDescent="0.25">
      <c r="A20" s="7" t="str">
        <f t="shared" si="2"/>
        <v>2024</v>
      </c>
      <c r="B20" s="3" t="str">
        <f t="shared" si="3"/>
        <v>November</v>
      </c>
      <c r="C20" s="4">
        <v>45637</v>
      </c>
      <c r="D20" s="8" t="s">
        <v>22</v>
      </c>
    </row>
    <row r="21" spans="1:4" x14ac:dyDescent="0.25">
      <c r="A21" s="18" t="str">
        <f t="shared" si="2"/>
        <v>2024</v>
      </c>
      <c r="B21" s="9" t="str">
        <f t="shared" si="3"/>
        <v>December</v>
      </c>
      <c r="C21" s="10">
        <v>45672</v>
      </c>
      <c r="D21" s="19" t="s">
        <v>23</v>
      </c>
    </row>
    <row r="22" spans="1:4" x14ac:dyDescent="0.25">
      <c r="A22" s="18" t="str">
        <f t="shared" si="2"/>
        <v>2025</v>
      </c>
      <c r="B22" s="9" t="str">
        <f t="shared" si="3"/>
        <v>January</v>
      </c>
      <c r="C22" s="10">
        <v>45707</v>
      </c>
      <c r="D22" s="20" t="s">
        <v>24</v>
      </c>
    </row>
    <row r="23" spans="1:4" x14ac:dyDescent="0.25">
      <c r="A23" s="18" t="str">
        <f>TEXT(EDATE($C23, -1), "yyyy")</f>
        <v>2025</v>
      </c>
      <c r="B23" s="9" t="str">
        <f t="shared" si="3"/>
        <v>February</v>
      </c>
      <c r="C23" s="10">
        <v>45735</v>
      </c>
      <c r="D23" s="20" t="s">
        <v>25</v>
      </c>
    </row>
    <row r="24" spans="1:4" x14ac:dyDescent="0.25">
      <c r="A24" s="18" t="str">
        <f>TEXT(EDATE($C24, -1), "yyyy")</f>
        <v>2025</v>
      </c>
      <c r="B24" s="9" t="str">
        <f t="shared" si="3"/>
        <v>March</v>
      </c>
      <c r="C24" s="10">
        <v>45763</v>
      </c>
      <c r="D24" s="20" t="s">
        <v>26</v>
      </c>
    </row>
    <row r="25" spans="1:4" x14ac:dyDescent="0.25">
      <c r="A25" s="18" t="str">
        <f>TEXT(EDATE($C25, -1), "yyyy")</f>
        <v>2025</v>
      </c>
      <c r="B25" s="9" t="str">
        <f t="shared" si="3"/>
        <v>April</v>
      </c>
      <c r="C25" s="10">
        <v>45791</v>
      </c>
      <c r="D25" s="20" t="s">
        <v>27</v>
      </c>
    </row>
    <row r="26" spans="1:4" x14ac:dyDescent="0.25">
      <c r="A26" s="18" t="str">
        <f t="shared" ref="A26:A32" si="4">TEXT(EDATE($C26, -1), "yyyy")</f>
        <v>2025</v>
      </c>
      <c r="B26" s="9" t="str">
        <f t="shared" si="3"/>
        <v>May</v>
      </c>
      <c r="C26" s="10">
        <v>45826</v>
      </c>
      <c r="D26" s="20" t="s">
        <v>28</v>
      </c>
    </row>
    <row r="27" spans="1:4" x14ac:dyDescent="0.25">
      <c r="A27" s="18" t="str">
        <f t="shared" si="4"/>
        <v>2025</v>
      </c>
      <c r="B27" s="9" t="str">
        <f t="shared" si="3"/>
        <v>June</v>
      </c>
      <c r="C27" s="10">
        <v>45854</v>
      </c>
      <c r="D27" s="20" t="s">
        <v>29</v>
      </c>
    </row>
    <row r="28" spans="1:4" x14ac:dyDescent="0.25">
      <c r="A28" s="18" t="str">
        <f t="shared" si="4"/>
        <v>2025</v>
      </c>
      <c r="B28" s="9" t="str">
        <f t="shared" si="3"/>
        <v>July</v>
      </c>
      <c r="C28" s="10">
        <v>45882</v>
      </c>
      <c r="D28" s="20" t="s">
        <v>30</v>
      </c>
    </row>
    <row r="29" spans="1:4" x14ac:dyDescent="0.25">
      <c r="A29" s="18" t="str">
        <f t="shared" si="4"/>
        <v>2025</v>
      </c>
      <c r="B29" s="9" t="str">
        <f t="shared" si="3"/>
        <v>August</v>
      </c>
      <c r="C29" s="10">
        <v>45917</v>
      </c>
      <c r="D29" s="20" t="s">
        <v>5</v>
      </c>
    </row>
    <row r="30" spans="1:4" x14ac:dyDescent="0.25">
      <c r="A30" s="18" t="str">
        <f t="shared" si="4"/>
        <v>2025</v>
      </c>
      <c r="B30" s="9" t="str">
        <f t="shared" si="3"/>
        <v>September</v>
      </c>
      <c r="C30" s="10">
        <v>45945</v>
      </c>
      <c r="D30" s="20" t="s">
        <v>31</v>
      </c>
    </row>
    <row r="31" spans="1:4" x14ac:dyDescent="0.25">
      <c r="A31" s="18" t="str">
        <f t="shared" si="4"/>
        <v>2025</v>
      </c>
      <c r="B31" s="9" t="str">
        <f t="shared" si="3"/>
        <v>October</v>
      </c>
      <c r="C31" s="10">
        <v>45973</v>
      </c>
      <c r="D31" s="20" t="s">
        <v>32</v>
      </c>
    </row>
    <row r="32" spans="1:4" x14ac:dyDescent="0.25">
      <c r="A32" s="18" t="str">
        <f t="shared" si="4"/>
        <v>2025</v>
      </c>
      <c r="B32" s="9" t="str">
        <f t="shared" si="3"/>
        <v>November</v>
      </c>
      <c r="C32" s="10">
        <v>46001</v>
      </c>
      <c r="D32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 Wagner</cp:lastModifiedBy>
  <dcterms:created xsi:type="dcterms:W3CDTF">2015-06-05T18:17:20Z</dcterms:created>
  <dcterms:modified xsi:type="dcterms:W3CDTF">2025-11-04T22:34:05Z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d889eb-932f-4752-8739-64d25806ef64_Enabled">
    <vt:lpwstr>true</vt:lpwstr>
  </property>
  <property fmtid="{D5CDD505-2E9C-101B-9397-08002B2CF9AE}" pid="3" name="MSIP_Label_79d889eb-932f-4752-8739-64d25806ef64_SetDate">
    <vt:lpwstr>2024-06-04T23:30:47Z</vt:lpwstr>
  </property>
  <property fmtid="{D5CDD505-2E9C-101B-9397-08002B2CF9AE}" pid="4" name="MSIP_Label_79d889eb-932f-4752-8739-64d25806ef64_Method">
    <vt:lpwstr>Privileged</vt:lpwstr>
  </property>
  <property fmtid="{D5CDD505-2E9C-101B-9397-08002B2CF9AE}" pid="5" name="MSIP_Label_79d889eb-932f-4752-8739-64d25806ef64_Name">
    <vt:lpwstr>79d889eb-932f-4752-8739-64d25806ef64</vt:lpwstr>
  </property>
  <property fmtid="{D5CDD505-2E9C-101B-9397-08002B2CF9AE}" pid="6" name="MSIP_Label_79d889eb-932f-4752-8739-64d25806ef64_SiteId">
    <vt:lpwstr>dd0cfd15-4558-4b12-8bad-ea26984fc417</vt:lpwstr>
  </property>
  <property fmtid="{D5CDD505-2E9C-101B-9397-08002B2CF9AE}" pid="7" name="MSIP_Label_79d889eb-932f-4752-8739-64d25806ef64_ActionId">
    <vt:lpwstr>b907eb43-a01b-4fb2-aec1-f4c89e5bd143</vt:lpwstr>
  </property>
  <property fmtid="{D5CDD505-2E9C-101B-9397-08002B2CF9AE}" pid="8" name="MSIP_Label_79d889eb-932f-4752-8739-64d25806ef64_ContentBits">
    <vt:lpwstr>0</vt:lpwstr>
  </property>
</Properties>
</file>